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\\10.0.0.96\c$\WWW\its\www\engine\import\extra\"/>
    </mc:Choice>
  </mc:AlternateContent>
  <xr:revisionPtr revIDLastSave="0" documentId="10_ncr:100000_{F28DE651-9FB1-4714-95EF-444DB629E134}" xr6:coauthVersionLast="31" xr6:coauthVersionMax="31" xr10:uidLastSave="{00000000-0000-0000-0000-000000000000}"/>
  <bookViews>
    <workbookView xWindow="0" yWindow="0" windowWidth="28200" windowHeight="11100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C10" i="1" s="1"/>
  <c r="C22" i="1" s="1"/>
  <c r="C11" i="1" l="1"/>
  <c r="C23" i="1" s="1"/>
  <c r="C4" i="1"/>
  <c r="C16" i="1" s="1"/>
  <c r="C5" i="1"/>
  <c r="C17" i="1" s="1"/>
  <c r="C6" i="1"/>
  <c r="C18" i="1" s="1"/>
  <c r="C8" i="1"/>
  <c r="C20" i="1" s="1"/>
  <c r="C9" i="1"/>
  <c r="C21" i="1" s="1"/>
  <c r="C7" i="1"/>
  <c r="C19" i="1" s="1"/>
</calcChain>
</file>

<file path=xl/sharedStrings.xml><?xml version="1.0" encoding="utf-8"?>
<sst xmlns="http://schemas.openxmlformats.org/spreadsheetml/2006/main" count="26" uniqueCount="18">
  <si>
    <t>Ownership side of pension funds/Pension fund advisors</t>
  </si>
  <si>
    <t>Publicly traded corporations REITs</t>
  </si>
  <si>
    <t>Ownership side of Banks/Life companies</t>
  </si>
  <si>
    <t>Private Companies - Domestic</t>
  </si>
  <si>
    <t>Private Companies - Foreign</t>
  </si>
  <si>
    <t>Investment Banks/Real Estate Brokers/Real Estate Analysts</t>
  </si>
  <si>
    <t>Lending side of banks/Life companies/Pension funds</t>
  </si>
  <si>
    <t>Other</t>
  </si>
  <si>
    <t>Fonds de pension - Propriétaires, conseillers</t>
  </si>
  <si>
    <t>Sociétés cotées en bourse, FPI</t>
  </si>
  <si>
    <t>Banques, compagnies d'assurance - Propriétaires</t>
  </si>
  <si>
    <t>Sociétés privées - Canadiennes</t>
  </si>
  <si>
    <t>Sociétés privées - Étrangères</t>
  </si>
  <si>
    <t>Banques, compagnies d'assurance, fonds de pension - Prêteurs</t>
  </si>
  <si>
    <t>Autre</t>
  </si>
  <si>
    <t>Catégories de répondants</t>
  </si>
  <si>
    <t>Respondent Categories</t>
  </si>
  <si>
    <t>Banques d'investissement/ Courtiers immobiliers/ Analystes immobiliers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</si>
</sst>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44444"/>
      <name val="Inherit"/>
    </font>
    <font>
      <b/>
      <sz val="9"/>
      <color rgb="FF444444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6DE"/>
        <bgColor indexed="64"/>
      </patternFill>
    </fill>
    <fill>
      <patternFill patternType="solid">
        <fgColor rgb="FFFFECD5"/>
        <bgColor indexed="64"/>
      </patternFill>
    </fill>
    <fill>
      <patternFill patternType="solid">
        <fgColor rgb="FFFFE5CA"/>
        <bgColor indexed="64"/>
      </patternFill>
    </fill>
  </fills>
  <borders count="2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3FEB4"/>
      <color rgb="FFFFFF8D"/>
      <color rgb="FFFEF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200" cap="none" baseline="0">
                <a:solidFill>
                  <a:schemeClr val="accent1">
                    <a:lumMod val="50000"/>
                  </a:schemeClr>
                </a:solidFill>
              </a:rPr>
              <a:t>Respondent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7850517007316877"/>
          <c:y val="0.23210131448412699"/>
          <c:w val="0.45591135439347208"/>
          <c:h val="0.6482847635582010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E6-4456-84FA-A9CED059FC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E6-4456-84FA-A9CED059FC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E6-4456-84FA-A9CED059FC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E6-4456-84FA-A9CED059FC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E6-4456-84FA-A9CED059FC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E6-4456-84FA-A9CED059FC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E6-4456-84FA-A9CED059FC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6E6-4456-84FA-A9CED059FC33}"/>
              </c:ext>
            </c:extLst>
          </c:dPt>
          <c:dLbls>
            <c:dLbl>
              <c:idx val="0"/>
              <c:layout>
                <c:manualLayout>
                  <c:x val="3.9286306064843214E-2"/>
                  <c:y val="4.2878430886243386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02B67E9-C3BA-4E78-BD53-8183DD9BA89C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5740CB61-A891-461A-9FE2-F017F64FF390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4832361" y="484174"/>
                  <a:ext cx="1992196" cy="985673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9867"/>
                        <a:gd name="adj2" fmla="val -409"/>
                        <a:gd name="adj3" fmla="val 89828"/>
                        <a:gd name="adj4" fmla="val -14991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796643383490717"/>
                      <c:h val="0.2037187913359788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6E6-4456-84FA-A9CED059FC33}"/>
                </c:ext>
              </c:extLst>
            </c:dLbl>
            <c:dLbl>
              <c:idx val="1"/>
              <c:layout>
                <c:manualLayout>
                  <c:x val="3.8167843926831022E-2"/>
                  <c:y val="-3.4346478174603221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754913D-2DA0-42E7-8851-D217AD903D9D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C94742B5-A9C7-4882-A5DA-083BEC36F512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5270169" y="1537697"/>
                  <a:ext cx="1391465" cy="757067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610"/>
                        <a:gd name="adj2" fmla="val 180"/>
                        <a:gd name="adj3" fmla="val 61512"/>
                        <a:gd name="adj4" fmla="val -2716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22484076988596"/>
                      <c:h val="0.1564705274470899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6E6-4456-84FA-A9CED059FC33}"/>
                </c:ext>
              </c:extLst>
            </c:dLbl>
            <c:dLbl>
              <c:idx val="2"/>
              <c:layout>
                <c:manualLayout>
                  <c:x val="1.4220427470186502E-2"/>
                  <c:y val="2.0616216104497355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D08A746-EEB5-45BE-B431-832F45DDBAED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186643E7-31F6-404F-AAFF-70DE44BD5EF7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5150279" y="3027462"/>
                  <a:ext cx="1644704" cy="88634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6311"/>
                        <a:gd name="adj2" fmla="val -526"/>
                        <a:gd name="adj3" fmla="val 12705"/>
                        <a:gd name="adj4" fmla="val -1252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940709129968399"/>
                      <c:h val="0.1831898974867724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6E6-4456-84FA-A9CED059FC33}"/>
                </c:ext>
              </c:extLst>
            </c:dLbl>
            <c:dLbl>
              <c:idx val="3"/>
              <c:layout>
                <c:manualLayout>
                  <c:x val="3.6446277430870096E-2"/>
                  <c:y val="2.99620742394178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AD6D4DE9-8BDB-4247-BDA1-B3CD525BD02B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42551605-4F47-4F25-89EF-FF9DCC5F9B90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4421989" y="4066354"/>
                  <a:ext cx="1765677" cy="77204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5019"/>
                        <a:gd name="adj2" fmla="val 33"/>
                        <a:gd name="adj3" fmla="val 4068"/>
                        <a:gd name="adj4" fmla="val -1522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701629946598681"/>
                      <c:h val="0.1595663855820105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E6E6-4456-84FA-A9CED059FC33}"/>
                </c:ext>
              </c:extLst>
            </c:dLbl>
            <c:dLbl>
              <c:idx val="4"/>
              <c:layout>
                <c:manualLayout>
                  <c:x val="-0.34398098023466406"/>
                  <c:y val="-1.092902612433852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57564A06-1B17-49BF-85DE-2810395689BA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C53266D3-8ABB-4B72-AF1A-56F2DB151D0C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89641"/>
                        <a:gd name="adj2" fmla="val 100636"/>
                        <a:gd name="adj3" fmla="val 19839"/>
                        <a:gd name="adj4" fmla="val 254795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6E6-4456-84FA-A9CED059FC33}"/>
                </c:ext>
              </c:extLst>
            </c:dLbl>
            <c:dLbl>
              <c:idx val="5"/>
              <c:layout>
                <c:manualLayout>
                  <c:x val="-6.2713376282004435E-2"/>
                  <c:y val="-0.10922495039682549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9F95EC53-430E-4EA9-A6CC-D6B40A1E05D2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E3E6C6B0-EBFB-41C4-926C-0B3E2E8978A9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562"/>
                        <a:gd name="adj2" fmla="val 100464"/>
                        <a:gd name="adj3" fmla="val 76617"/>
                        <a:gd name="adj4" fmla="val 139416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6E6-4456-84FA-A9CED059FC33}"/>
                </c:ext>
              </c:extLst>
            </c:dLbl>
            <c:dLbl>
              <c:idx val="6"/>
              <c:layout>
                <c:manualLayout>
                  <c:x val="-5.5549959489984285E-2"/>
                  <c:y val="5.518342840608465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6C4558CF-3EA7-4613-8A5B-ED52E111CE27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F2F47D11-B87C-48FB-8916-9AC134965BC2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xfrm>
                  <a:off x="305000" y="565169"/>
                  <a:ext cx="2019642" cy="944937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9033"/>
                        <a:gd name="adj2" fmla="val 100083"/>
                        <a:gd name="adj3" fmla="val 79284"/>
                        <a:gd name="adj4" fmla="val 12053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398399413951787"/>
                      <c:h val="0.1952996858465608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E6E6-4456-84FA-A9CED059FC33}"/>
                </c:ext>
              </c:extLst>
            </c:dLbl>
            <c:dLbl>
              <c:idx val="7"/>
              <c:layout>
                <c:manualLayout>
                  <c:x val="6.672911839859999E-2"/>
                  <c:y val="-1.5738053902116425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64A84828-8547-48E1-BC76-74A7EA7B6233}" type="CATEGORYNAME">
                      <a:rPr lang="en-US" sz="14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600" b="0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t>, </a:t>
                    </a:r>
                    <a:fld id="{04F1DAFF-C2C0-4F41-AB76-92A6E8698E2C}" type="VALUE">
                      <a:rPr lang="en-US" sz="1800" b="1" i="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</a:rPr>
                      <a:pPr>
                        <a:defRPr sz="16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600" b="0" i="0" baseline="0">
                      <a:solidFill>
                        <a:schemeClr val="tx1"/>
                      </a:solidFill>
                      <a:latin typeface="Calibri" panose="020F0502020204030204" pitchFamily="34" charset="0"/>
                    </a:endParaRPr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02453"/>
                        <a:gd name="adj2" fmla="val 29559"/>
                        <a:gd name="adj3" fmla="val 155014"/>
                        <a:gd name="adj4" fmla="val 32540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E6E6-4456-84FA-A9CED059FC33}"/>
                </c:ext>
              </c:extLst>
            </c:dLbl>
            <c:spPr>
              <a:noFill/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Sheet1!$B$4:$B$11</c:f>
              <c:strCache>
                <c:ptCount val="8"/>
                <c:pt idx="0">
                  <c:v>Ownership side of pension funds/Pension fund advisors</c:v>
                </c:pt>
                <c:pt idx="1">
                  <c:v>Publicly traded corporations REITs</c:v>
                </c:pt>
                <c:pt idx="2">
                  <c:v>Ownership side of Banks/Life companies</c:v>
                </c:pt>
                <c:pt idx="3">
                  <c:v>Private Companies - Domestic</c:v>
                </c:pt>
                <c:pt idx="4">
                  <c:v>Private Companies - Foreign</c:v>
                </c:pt>
                <c:pt idx="5">
                  <c:v>Investment Banks/Real Estate Brokers/Real Estate Analysts</c:v>
                </c:pt>
                <c:pt idx="6">
                  <c:v>Lending side of banks/Life companies/Pension funds</c:v>
                </c:pt>
                <c:pt idx="7">
                  <c:v>Other</c:v>
                </c:pt>
              </c:strCache>
            </c:strRef>
          </c:cat>
          <c:val>
            <c:numRef>
              <c:f>Sheet1!$C$4:$C$11</c:f>
              <c:numCache>
                <c:formatCode>0.0%</c:formatCode>
                <c:ptCount val="8"/>
                <c:pt idx="0">
                  <c:v>0.20168067226890757</c:v>
                </c:pt>
                <c:pt idx="1">
                  <c:v>8.4033613445378158E-2</c:v>
                </c:pt>
                <c:pt idx="2">
                  <c:v>3.3613445378151259E-2</c:v>
                </c:pt>
                <c:pt idx="3">
                  <c:v>0.22689075630252101</c:v>
                </c:pt>
                <c:pt idx="4">
                  <c:v>8.4033613445378148E-3</c:v>
                </c:pt>
                <c:pt idx="5">
                  <c:v>0.34453781512605042</c:v>
                </c:pt>
                <c:pt idx="6">
                  <c:v>5.0420168067226892E-2</c:v>
                </c:pt>
                <c:pt idx="7">
                  <c:v>5.0420168067226892E-2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E6-4456-84FA-A9CED059FC3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77000">
          <a:srgbClr val="FEF98E">
            <a:lumMod val="42000"/>
            <a:lumOff val="58000"/>
          </a:srgbClr>
        </a:gs>
        <a:gs pos="90000">
          <a:srgbClr val="FFFF8D">
            <a:lumMod val="44000"/>
            <a:lumOff val="56000"/>
          </a:srgbClr>
        </a:gs>
        <a:gs pos="100000">
          <a:srgbClr val="F3FEB4">
            <a:lumMod val="0"/>
            <a:lumOff val="100000"/>
          </a:srgbClr>
        </a:gs>
      </a:gsLst>
      <a:lin ang="2700000" scaled="1"/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200" cap="none" baseline="0">
                <a:solidFill>
                  <a:schemeClr val="accent1">
                    <a:lumMod val="50000"/>
                  </a:schemeClr>
                </a:solidFill>
              </a:rPr>
              <a:t>Catégories de répondants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7850517007316877"/>
          <c:y val="0.23210131448412699"/>
          <c:w val="0.45591135439347208"/>
          <c:h val="0.6482847635582010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06-4B0A-AAC1-EBFCFEF3B2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06-4B0A-AAC1-EBFCFEF3B2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06-4B0A-AAC1-EBFCFEF3B2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06-4B0A-AAC1-EBFCFEF3B2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06-4B0A-AAC1-EBFCFEF3B2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406-4B0A-AAC1-EBFCFEF3B2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406-4B0A-AAC1-EBFCFEF3B2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406-4B0A-AAC1-EBFCFEF3B2D6}"/>
              </c:ext>
            </c:extLst>
          </c:dPt>
          <c:dLbls>
            <c:dLbl>
              <c:idx val="0"/>
              <c:layout>
                <c:manualLayout>
                  <c:x val="7.2914462002827987E-2"/>
                  <c:y val="3.674768518518517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97714102-76F1-477F-8591-98A5FA6C910E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DFBECB4F-04FF-4B72-AA58-9F4EFA27CE43}" type="VALUE">
                      <a:rPr lang="en-US" sz="1800" b="1" i="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xfrm>
                  <a:off x="4825703" y="484310"/>
                  <a:ext cx="1668884" cy="977768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7178"/>
                        <a:gd name="adj2" fmla="val -338"/>
                        <a:gd name="adj3" fmla="val 93393"/>
                        <a:gd name="adj4" fmla="val -2848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292686897345628"/>
                      <c:h val="0.202084986772486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06-4B0A-AAC1-EBFCFEF3B2D6}"/>
                </c:ext>
              </c:extLst>
            </c:dLbl>
            <c:dLbl>
              <c:idx val="1"/>
              <c:layout>
                <c:manualLayout>
                  <c:x val="3.4157890952219723E-2"/>
                  <c:y val="-4.199735449735449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0F5A4119-FC6E-461E-8208-BA862F14C7B2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C0F2EFDE-B3B6-4DA1-8DF4-E73F85C2866D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xfrm>
                  <a:off x="5336801" y="1681901"/>
                  <a:ext cx="1357347" cy="797560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63390"/>
                        <a:gd name="adj2" fmla="val -787"/>
                        <a:gd name="adj3" fmla="val 68578"/>
                        <a:gd name="adj4" fmla="val -2690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757877203131402"/>
                      <c:h val="0.164839616402116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406-4B0A-AAC1-EBFCFEF3B2D6}"/>
                </c:ext>
              </c:extLst>
            </c:dLbl>
            <c:dLbl>
              <c:idx val="2"/>
              <c:layout>
                <c:manualLayout>
                  <c:x val="2.1186170524021726E-2"/>
                  <c:y val="9.1869212962962955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B2BCDDE0-BC06-4A4A-B031-79F8175C0488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F8A0436C-1706-4503-A50D-5DAE35ED5990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xfrm>
                  <a:off x="5197471" y="2944929"/>
                  <a:ext cx="1578675" cy="96918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35545"/>
                        <a:gd name="adj2" fmla="val -41"/>
                        <a:gd name="adj3" fmla="val 24877"/>
                        <a:gd name="adj4" fmla="val -1548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979572615036667"/>
                      <c:h val="0.200311053240740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406-4B0A-AAC1-EBFCFEF3B2D6}"/>
                </c:ext>
              </c:extLst>
            </c:dLbl>
            <c:dLbl>
              <c:idx val="3"/>
              <c:layout>
                <c:manualLayout>
                  <c:x val="7.3818477283386405E-2"/>
                  <c:y val="3.41228505291004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5984A326-2F83-4376-971F-DCDE8225206D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F733C644-28FA-4929-BE7F-1C5827BC3E94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32967"/>
                        <a:gd name="adj2" fmla="val 963"/>
                        <a:gd name="adj3" fmla="val -10915"/>
                        <a:gd name="adj4" fmla="val -26037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406-4B0A-AAC1-EBFCFEF3B2D6}"/>
                </c:ext>
              </c:extLst>
            </c:dLbl>
            <c:dLbl>
              <c:idx val="4"/>
              <c:layout>
                <c:manualLayout>
                  <c:x val="-0.38291462794396314"/>
                  <c:y val="-1.574911127645512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F7C80034-1C5D-41EC-959D-95D869A2B177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87874F26-FE4A-45B7-93E7-44146FE32A43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xfrm>
                  <a:off x="0" y="4003594"/>
                  <a:ext cx="1578903" cy="758605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87238"/>
                        <a:gd name="adj2" fmla="val 100484"/>
                        <a:gd name="adj3" fmla="val 23815"/>
                        <a:gd name="adj4" fmla="val 18943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982901113084631"/>
                      <c:h val="0.1567886078042327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1406-4B0A-AAC1-EBFCFEF3B2D6}"/>
                </c:ext>
              </c:extLst>
            </c:dLbl>
            <c:dLbl>
              <c:idx val="5"/>
              <c:layout>
                <c:manualLayout>
                  <c:x val="-2.0381283237354338E-2"/>
                  <c:y val="-6.693318039021163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79FAC94-17BF-43EF-BF4C-ADE9F125D5B6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2BF816A4-E55F-4EBA-BF78-DFD868C7DE47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xfrm>
                  <a:off x="132163" y="1852243"/>
                  <a:ext cx="1563258" cy="1758992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5592"/>
                        <a:gd name="adj2" fmla="val 100429"/>
                        <a:gd name="adj3" fmla="val 74525"/>
                        <a:gd name="adj4" fmla="val 11752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75516789292992"/>
                      <c:h val="0.3635484871031745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1406-4B0A-AAC1-EBFCFEF3B2D6}"/>
                </c:ext>
              </c:extLst>
            </c:dLbl>
            <c:dLbl>
              <c:idx val="6"/>
              <c:layout>
                <c:manualLayout>
                  <c:x val="-6.6495305758186504E-2"/>
                  <c:y val="6.037119708994709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837901D1-2C9A-42EB-AC04-A4CED1ACB5CF}" type="CATEGORYNAME">
                      <a:rPr lang="en-US" sz="140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sz="1400" baseline="0"/>
                      <a:t>, </a:t>
                    </a:r>
                    <a:fld id="{7AA2E191-FB0A-4F9F-AF7A-3DFF4C671AC7}" type="VALUE">
                      <a:rPr lang="en-US" sz="1800" b="1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sz="1400" baseline="0"/>
                  </a:p>
                </c:rich>
              </c:tx>
              <c:spPr>
                <a:xfrm>
                  <a:off x="230947" y="551724"/>
                  <a:ext cx="2020637" cy="982391"/>
                </a:xfrm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24764"/>
                        <a:gd name="adj2" fmla="val 100508"/>
                        <a:gd name="adj3" fmla="val 80030"/>
                        <a:gd name="adj4" fmla="val 12281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412889192734365"/>
                      <c:h val="0.203040467923280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1406-4B0A-AAC1-EBFCFEF3B2D6}"/>
                </c:ext>
              </c:extLst>
            </c:dLbl>
            <c:dLbl>
              <c:idx val="7"/>
              <c:layout>
                <c:manualLayout>
                  <c:x val="5.5594647146554842E-3"/>
                  <c:y val="-3.41228505291005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/>
                        </a:solidFill>
                        <a:latin typeface="Calibri" panose="020F0502020204030204" pitchFamily="34" charset="0"/>
                        <a:ea typeface="+mn-ea"/>
                        <a:cs typeface="+mn-cs"/>
                      </a:defRPr>
                    </a:pPr>
                    <a:fld id="{EBCBF1FE-664C-4920-9A19-B32884FB71DB}" type="CATEGORYNAME">
                      <a:rPr lang="en-US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[NOM DE CATÉGORIE]</a:t>
                    </a:fld>
                    <a:r>
                      <a:rPr lang="en-US" baseline="0"/>
                      <a:t>, </a:t>
                    </a:r>
                    <a:fld id="{4ED43ACE-1166-433A-9AF8-050667E12BE4}" type="VALUE">
                      <a:rPr lang="en-US" sz="1800" b="1" i="0" baseline="0"/>
                      <a:pPr>
                        <a:defRPr sz="1400" b="0">
                          <a:solidFill>
                            <a:schemeClr val="tx1"/>
                          </a:solidFill>
                          <a:latin typeface="Calibri" panose="020F0502020204030204" pitchFamily="34" charset="0"/>
                        </a:defRPr>
                      </a:pPr>
                      <a:t>[VALEUR]</a:t>
                    </a:fld>
                    <a:endParaRPr lang="en-US" baseline="0"/>
                  </a:p>
                </c:rich>
              </c:tx>
              <c:spPr>
                <a:noFill/>
                <a:ln w="9525" cap="flat" cmpd="sng" algn="ctr">
                  <a:solidFill>
                    <a:srgbClr val="5B9BD5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04068"/>
                        <a:gd name="adj2" fmla="val 68426"/>
                        <a:gd name="adj3" fmla="val 173351"/>
                        <a:gd name="adj4" fmla="val 72547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1406-4B0A-AAC1-EBFCFEF3B2D6}"/>
                </c:ext>
              </c:extLst>
            </c:dLbl>
            <c:spPr>
              <a:noFill/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Sheet1!$B$16:$B$23</c:f>
              <c:strCache>
                <c:ptCount val="8"/>
                <c:pt idx="0">
                  <c:v>Fonds de pension - Propriétaires, conseillers</c:v>
                </c:pt>
                <c:pt idx="1">
                  <c:v>Sociétés cotées en bourse, FPI</c:v>
                </c:pt>
                <c:pt idx="2">
                  <c:v>Banques, compagnies d'assurance - Propriétaires</c:v>
                </c:pt>
                <c:pt idx="3">
                  <c:v>Sociétés privées - Canadiennes</c:v>
                </c:pt>
                <c:pt idx="4">
                  <c:v>Sociétés privées - Étrangères</c:v>
                </c:pt>
                <c:pt idx="5">
                  <c:v>Banques d'investissement/ Courtiers immobiliers/ Analystes immobiliers</c:v>
                </c:pt>
                <c:pt idx="6">
                  <c:v>Banques, compagnies d'assurance, fonds de pension - Prêteurs</c:v>
                </c:pt>
                <c:pt idx="7">
                  <c:v>Autre</c:v>
                </c:pt>
              </c:strCache>
            </c:strRef>
          </c:cat>
          <c:val>
            <c:numRef>
              <c:f>Sheet1!$C$16:$C$23</c:f>
              <c:numCache>
                <c:formatCode>0.0%</c:formatCode>
                <c:ptCount val="8"/>
                <c:pt idx="0">
                  <c:v>0.20168067226890757</c:v>
                </c:pt>
                <c:pt idx="1">
                  <c:v>8.4033613445378158E-2</c:v>
                </c:pt>
                <c:pt idx="2">
                  <c:v>3.3613445378151259E-2</c:v>
                </c:pt>
                <c:pt idx="3">
                  <c:v>0.22689075630252101</c:v>
                </c:pt>
                <c:pt idx="4">
                  <c:v>8.4033613445378148E-3</c:v>
                </c:pt>
                <c:pt idx="5">
                  <c:v>0.34453781512605042</c:v>
                </c:pt>
                <c:pt idx="6">
                  <c:v>5.0420168067226892E-2</c:v>
                </c:pt>
                <c:pt idx="7">
                  <c:v>5.0420168067226892E-2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06-4B0A-AAC1-EBFCFEF3B2D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77000">
          <a:srgbClr val="FEF98E">
            <a:lumMod val="42000"/>
            <a:lumOff val="58000"/>
          </a:srgbClr>
        </a:gs>
        <a:gs pos="90000">
          <a:srgbClr val="FFFF8D">
            <a:lumMod val="44000"/>
            <a:lumOff val="56000"/>
          </a:srgbClr>
        </a:gs>
        <a:gs pos="100000">
          <a:srgbClr val="F3FEB4">
            <a:lumMod val="0"/>
            <a:lumOff val="100000"/>
          </a:srgbClr>
        </a:gs>
      </a:gsLst>
      <a:lin ang="2700000" scaled="1"/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384572</xdr:colOff>
      <xdr:row>1</xdr:row>
      <xdr:rowOff>55959</xdr:rowOff>
    </xdr:from>
    <xdr:to>
      <xdr:col>16</xdr:col>
      <xdr:colOff>575071</xdr:colOff>
      <xdr:row>26</xdr:row>
      <xdr:rowOff>131859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399009</xdr:colOff>
      <xdr:row>29</xdr:row>
      <xdr:rowOff>79643</xdr:rowOff>
    </xdr:from>
    <xdr:to>
      <xdr:col>16</xdr:col>
      <xdr:colOff>589508</xdr:colOff>
      <xdr:row>54</xdr:row>
      <xdr:rowOff>155543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8"/>
  <sheetViews>
    <sheetView tabSelected="1" topLeftCell="C31" zoomScale="160" zoomScaleNormal="160" workbookViewId="0">
      <selection activeCell="S11" sqref="S11"/>
    </sheetView>
  </sheetViews>
  <sheetFormatPr baseColWidth="10" defaultColWidth="9.140625" defaultRowHeight="15"/>
  <cols>
    <col min="2" max="2" width="66.7109375" bestFit="1" customWidth="1"/>
  </cols>
  <sheetData>
    <row r="2" spans="2:5">
      <c r="B2" t="s">
        <v>16</v>
      </c>
    </row>
    <row r="4" spans="2:5">
      <c r="B4" t="s">
        <v>0</v>
      </c>
      <c r="C4" s="1">
        <f>E4/$E$12</f>
        <v>0.20168067226890757</v>
      </c>
      <c r="E4">
        <v>24</v>
      </c>
    </row>
    <row r="5" spans="2:5">
      <c r="B5" t="s">
        <v>1</v>
      </c>
      <c r="C5" s="1">
        <f t="shared" ref="C5:C11" si="0">E5/$E$12</f>
        <v>8.4033613445378158E-2</v>
      </c>
      <c r="E5">
        <v>10</v>
      </c>
    </row>
    <row r="6" spans="2:5">
      <c r="B6" t="s">
        <v>2</v>
      </c>
      <c r="C6" s="1">
        <f t="shared" si="0"/>
        <v>3.3613445378151259E-2</v>
      </c>
      <c r="E6">
        <v>4</v>
      </c>
    </row>
    <row r="7" spans="2:5">
      <c r="B7" t="s">
        <v>3</v>
      </c>
      <c r="C7" s="1">
        <f t="shared" si="0"/>
        <v>0.22689075630252101</v>
      </c>
      <c r="E7">
        <v>27</v>
      </c>
    </row>
    <row r="8" spans="2:5">
      <c r="B8" t="s">
        <v>4</v>
      </c>
      <c r="C8" s="1">
        <f t="shared" si="0"/>
        <v>8.4033613445378148E-3</v>
      </c>
      <c r="E8">
        <v>1</v>
      </c>
    </row>
    <row r="9" spans="2:5">
      <c r="B9" t="s">
        <v>5</v>
      </c>
      <c r="C9" s="1">
        <f t="shared" si="0"/>
        <v>0.34453781512605042</v>
      </c>
      <c r="E9">
        <v>41</v>
      </c>
    </row>
    <row r="10" spans="2:5">
      <c r="B10" t="s">
        <v>6</v>
      </c>
      <c r="C10" s="1">
        <f t="shared" si="0"/>
        <v>5.0420168067226892E-2</v>
      </c>
      <c r="E10">
        <v>6</v>
      </c>
    </row>
    <row r="11" spans="2:5">
      <c r="B11" t="s">
        <v>7</v>
      </c>
      <c r="C11" s="1">
        <f t="shared" si="0"/>
        <v>5.0420168067226892E-2</v>
      </c>
      <c r="E11">
        <v>6</v>
      </c>
    </row>
    <row r="12" spans="2:5">
      <c r="E12">
        <f>SUM(E4:E11)</f>
        <v>119</v>
      </c>
    </row>
    <row r="14" spans="2:5">
      <c r="B14" t="s">
        <v>15</v>
      </c>
    </row>
    <row r="16" spans="2:5">
      <c r="B16" t="s">
        <v>8</v>
      </c>
      <c r="C16" s="1">
        <f>C4</f>
        <v>0.20168067226890757</v>
      </c>
    </row>
    <row r="17" spans="2:3">
      <c r="B17" t="s">
        <v>9</v>
      </c>
      <c r="C17" s="1">
        <f t="shared" ref="C17:C23" si="1">C5</f>
        <v>8.4033613445378158E-2</v>
      </c>
    </row>
    <row r="18" spans="2:3">
      <c r="B18" t="s">
        <v>10</v>
      </c>
      <c r="C18" s="1">
        <f t="shared" si="1"/>
        <v>3.3613445378151259E-2</v>
      </c>
    </row>
    <row r="19" spans="2:3">
      <c r="B19" t="s">
        <v>11</v>
      </c>
      <c r="C19" s="1">
        <f t="shared" si="1"/>
        <v>0.22689075630252101</v>
      </c>
    </row>
    <row r="20" spans="2:3">
      <c r="B20" t="s">
        <v>12</v>
      </c>
      <c r="C20" s="1">
        <f t="shared" si="1"/>
        <v>8.4033613445378148E-3</v>
      </c>
    </row>
    <row r="21" spans="2:3">
      <c r="B21" t="s">
        <v>17</v>
      </c>
      <c r="C21" s="1">
        <f t="shared" si="1"/>
        <v>0.34453781512605042</v>
      </c>
    </row>
    <row r="22" spans="2:3">
      <c r="B22" t="s">
        <v>13</v>
      </c>
      <c r="C22" s="1">
        <f t="shared" si="1"/>
        <v>5.0420168067226892E-2</v>
      </c>
    </row>
    <row r="23" spans="2:3">
      <c r="B23" t="s">
        <v>14</v>
      </c>
      <c r="C23" s="1">
        <f t="shared" si="1"/>
        <v>5.0420168067226892E-2</v>
      </c>
    </row>
    <row r="58" spans="3:3" ht="15.75" thickBot="1"/>
    <row r="59" spans="3:3" ht="15.75" thickBot="1">
      <c r="C59" s="3">
        <v>0</v>
      </c>
    </row>
    <row r="60" spans="3:3" ht="72.75" thickBot="1">
      <c r="C60" s="4" t="s">
        <v>0</v>
      </c>
    </row>
    <row r="61" spans="3:3" ht="48.75" thickBot="1">
      <c r="C61" s="4" t="s">
        <v>1</v>
      </c>
    </row>
    <row r="62" spans="3:3" ht="72.75" thickBot="1">
      <c r="C62" s="4" t="s">
        <v>2</v>
      </c>
    </row>
    <row r="63" spans="3:3" ht="48.75" thickBot="1">
      <c r="C63" s="4" t="s">
        <v>3</v>
      </c>
    </row>
    <row r="64" spans="3:3" ht="48.75" thickBot="1">
      <c r="C64" s="4" t="s">
        <v>4</v>
      </c>
    </row>
    <row r="65" spans="3:4" ht="84.75" thickBot="1">
      <c r="C65" s="4" t="s">
        <v>5</v>
      </c>
    </row>
    <row r="66" spans="3:4" ht="84.75" thickBot="1">
      <c r="C66" s="4" t="s">
        <v>6</v>
      </c>
    </row>
    <row r="67" spans="3:4" ht="15.75" thickBot="1">
      <c r="C67" s="4" t="s">
        <v>7</v>
      </c>
    </row>
    <row r="70" spans="3:4" ht="15.75" thickBot="1">
      <c r="D70" s="2"/>
    </row>
    <row r="71" spans="3:4" ht="15.75" thickBot="1">
      <c r="D71" s="5">
        <v>24</v>
      </c>
    </row>
    <row r="72" spans="3:4" ht="15.75" thickBot="1">
      <c r="D72" s="3">
        <v>10</v>
      </c>
    </row>
    <row r="73" spans="3:4" ht="15.75" thickBot="1">
      <c r="D73" s="5">
        <v>4</v>
      </c>
    </row>
    <row r="74" spans="3:4" ht="15.75" thickBot="1">
      <c r="D74" s="3">
        <v>27</v>
      </c>
    </row>
    <row r="75" spans="3:4" ht="15.75" thickBot="1">
      <c r="D75" s="5">
        <v>1</v>
      </c>
    </row>
    <row r="76" spans="3:4" ht="15.75" thickBot="1">
      <c r="D76" s="3">
        <v>41</v>
      </c>
    </row>
    <row r="77" spans="3:4" ht="15.75" thickBot="1">
      <c r="D77" s="5">
        <v>6</v>
      </c>
    </row>
    <row r="78" spans="3:4" ht="15.75" thickBot="1">
      <c r="D78" s="3">
        <v>6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G.M.</dc:creator>
  <cp:lastModifiedBy>Stephane Firmin</cp:lastModifiedBy>
  <dcterms:created xsi:type="dcterms:W3CDTF">2015-12-08T13:03:46Z</dcterms:created>
  <dcterms:modified xsi:type="dcterms:W3CDTF">2019-06-13T15:15:07Z</dcterms:modified>
</cp:coreProperties>
</file>